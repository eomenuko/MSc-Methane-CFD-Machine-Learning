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go Files\Msc Project\Project report\"/>
    </mc:Choice>
  </mc:AlternateContent>
  <bookViews>
    <workbookView xWindow="0" yWindow="0" windowWidth="30720" windowHeight="15504"/>
  </bookViews>
  <sheets>
    <sheet name="ML_Dataset" sheetId="1" r:id="rId1"/>
    <sheet name="Model_Setup" sheetId="2" r:id="rId2"/>
    <sheet name="Data_Audit" sheetId="3" r:id="rId3"/>
    <sheet name="Jupyter_Start" sheetId="4" r:id="rId4"/>
  </sheets>
  <calcPr calcId="152511"/>
</workbook>
</file>

<file path=xl/calcChain.xml><?xml version="1.0" encoding="utf-8"?>
<calcChain xmlns="http://schemas.openxmlformats.org/spreadsheetml/2006/main">
  <c r="H65" i="1" l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<sst xmlns="http://schemas.openxmlformats.org/spreadsheetml/2006/main" count="135" uniqueCount="71">
  <si>
    <t>Case_ID</t>
  </si>
  <si>
    <t>Leak_Diameter_mm</t>
  </si>
  <si>
    <t>Leak_Rate_kg_s_REFERENCE</t>
  </si>
  <si>
    <t>Wind_Speed_m_s</t>
  </si>
  <si>
    <t>Wind_Direction</t>
  </si>
  <si>
    <t>Wind_Direction_deg</t>
  </si>
  <si>
    <t>Wind_Sin</t>
  </si>
  <si>
    <t>Wind_Cos</t>
  </si>
  <si>
    <t>Max_3D_LFL_Distance_m</t>
  </si>
  <si>
    <t>Flammable_Hazard_Volume_m3</t>
  </si>
  <si>
    <t>North</t>
  </si>
  <si>
    <t>East</t>
  </si>
  <si>
    <t>South</t>
  </si>
  <si>
    <t>West</t>
  </si>
  <si>
    <t>Final Machine Learning Setup</t>
  </si>
  <si>
    <t>Production cases used</t>
  </si>
  <si>
    <t>64 (Cases 1–64 only)</t>
  </si>
  <si>
    <t>Excluded cases</t>
  </si>
  <si>
    <t>65–67 not started; 68–71 mesh-verification cases, not independent production scenarios</t>
  </si>
  <si>
    <t>Model 1 target</t>
  </si>
  <si>
    <t>Model 2 target</t>
  </si>
  <si>
    <t>Primary predictor 1</t>
  </si>
  <si>
    <t>Primary predictor 2</t>
  </si>
  <si>
    <t>Primary predictors 3–4</t>
  </si>
  <si>
    <t>Wind_Sin and Wind_Cos (circular encoding of wind direction)</t>
  </si>
  <si>
    <t>Reference-only column</t>
  </si>
  <si>
    <t>Leak_Rate_kg_s_REFERENCE — retain for engineering interpretation; do not include in the primary model because it is deterministically linked to leak diameter under these fixed source conditions</t>
  </si>
  <si>
    <t>Constant variable excluded</t>
  </si>
  <si>
    <t>Leak height = 1.2 m for all 64 cases, so it contains no predictive information</t>
  </si>
  <si>
    <t>Recommended baseline</t>
  </si>
  <si>
    <t>Linear Regression</t>
  </si>
  <si>
    <t>Main model</t>
  </si>
  <si>
    <t>Random Forest Regression</t>
  </si>
  <si>
    <t>Validation</t>
  </si>
  <si>
    <t>5-fold cross-validation plus a final held-out test set if feasible</t>
  </si>
  <si>
    <t>Performance metrics</t>
  </si>
  <si>
    <t>MAE, RMSE and R²</t>
  </si>
  <si>
    <t>Data Audit</t>
  </si>
  <si>
    <t>Result</t>
  </si>
  <si>
    <t>Rows in ML dataset</t>
  </si>
  <si>
    <t>Unique leak diameters</t>
  </si>
  <si>
    <t>Leak diameters</t>
  </si>
  <si>
    <t>5, 10, 15, 20 mm</t>
  </si>
  <si>
    <t>Unique wind speeds</t>
  </si>
  <si>
    <t>Wind speeds</t>
  </si>
  <si>
    <t>1, 2, 4, 6 m/s</t>
  </si>
  <si>
    <t>Unique wind directions</t>
  </si>
  <si>
    <t>Wind directions</t>
  </si>
  <si>
    <t>North, East, South, West</t>
  </si>
  <si>
    <t>Missing Max 3D LFL distance values</t>
  </si>
  <si>
    <t>Missing flammable hazard volume values</t>
  </si>
  <si>
    <t>Leak height</t>
  </si>
  <si>
    <t>Constant at 1.2 m — excluded from ML inputs</t>
  </si>
  <si>
    <t>Pressure / temperature</t>
  </si>
  <si>
    <t>Not included because they do not vary in the production case matrix</t>
  </si>
  <si>
    <t>Potential collinearity</t>
  </si>
  <si>
    <t>Leak rate and leak diameter are strongly/redundantly linked; use diameter in primary model</t>
  </si>
  <si>
    <t>Step</t>
  </si>
  <si>
    <t>Code</t>
  </si>
  <si>
    <t>1. Import</t>
  </si>
  <si>
    <t>import pandas as pd
import numpy as np
from sklearn.model_selection import train_test_split, KFold, cross_validate
from sklearn.ensemble import RandomForestRegressor
from sklearn.linear_model import LinearRegression
from sklearn.metrics import mean_absolute_error, mean_squared_error, r2_score</t>
  </si>
  <si>
    <t>2. Load cleaned dataset</t>
  </si>
  <si>
    <t>data = pd.read_excel('CFD_Methane_ML_Ready_64_Cases.xlsx', sheet_name='ML_Dataset')</t>
  </si>
  <si>
    <t>3. Define primary features</t>
  </si>
  <si>
    <t>features = ['Leak_Diameter_mm', 'Wind_Speed_m_s', 'Wind_Sin', 'Wind_Cos']
X = data[features]</t>
  </si>
  <si>
    <t>4. Target 1</t>
  </si>
  <si>
    <t>y_distance = data['Max_3D_LFL_Distance_m']</t>
  </si>
  <si>
    <t>5. Target 2</t>
  </si>
  <si>
    <t>y_volume = data['Flammable_Hazard_Volume_m3']</t>
  </si>
  <si>
    <t>6. Check data</t>
  </si>
  <si>
    <t>print(data.shape)
print(data[features + ['Max_3D_LFL_Distance_m','Flammable_Hazard_Volume_m3']].isnull().sum())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</si>
</sst>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4" fontId="0" fillId="3" borderId="0" xfId="0" applyNumberFormat="1" applyFont="1" applyFill="1" applyBorder="1" applyAlignment="1">
      <alignment vertical="center" wrapText="1"/>
    </xf>
    <xf numFmtId="165" fontId="0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MLDatasetTable" displayName="MLDatasetTable" ref="A1:J65" totalsRowShown="0">
  <tableColumns count="10">
    <tableColumn id="1" name="Case_ID"/>
    <tableColumn id="2" name="Leak_Diameter_mm"/>
    <tableColumn id="3" name="Leak_Rate_kg_s_REFERENCE"/>
    <tableColumn id="4" name="Wind_Speed_m_s"/>
    <tableColumn id="5" name="Wind_Direction"/>
    <tableColumn id="6" name="Wind_Direction_deg"/>
    <tableColumn id="7" name="Wind_Sin"/>
    <tableColumn id="8" name="Wind_Cos"/>
    <tableColumn id="9" name="Max_3D_LFL_Distance_m"/>
    <tableColumn id="10" name="Flammable_Hazard_Volume_m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workbookViewId="0"/>
  </sheetViews>
  <sheetFormatPr defaultRowHeight="13.8"/>
  <cols>
    <col min="1" max="1" width="11" customWidth="1"/>
    <col min="2" max="2" width="17" customWidth="1"/>
    <col min="3" max="3" width="23" customWidth="1"/>
    <col min="4" max="4" width="16" customWidth="1"/>
    <col min="5" max="6" width="18" customWidth="1"/>
    <col min="7" max="8" width="12" customWidth="1"/>
    <col min="9" max="9" width="23" customWidth="1"/>
    <col min="10" max="10" width="27" customWidth="1"/>
  </cols>
  <sheetData>
    <row r="1" spans="1:10" ht="30.45" customHeigh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9" t="s">
        <v>9</v>
      </c>
    </row>
    <row r="2" spans="1:10" ht="16.05" customHeight="1">
      <c r="A2" s="3">
        <v>1</v>
      </c>
      <c r="B2" s="4">
        <v>5</v>
      </c>
      <c r="C2" s="6">
        <v>0.16300000000000001</v>
      </c>
      <c r="D2" s="4">
        <v>1</v>
      </c>
      <c r="E2" s="3" t="s">
        <v>10</v>
      </c>
      <c r="F2" s="4">
        <v>0</v>
      </c>
      <c r="G2" s="5">
        <f t="shared" ref="G2:G33" si="0">SIN(RADIANS(F2))</f>
        <v>0</v>
      </c>
      <c r="H2" s="5">
        <f t="shared" ref="H2:H33" si="1">COS(RADIANS(F2))</f>
        <v>1</v>
      </c>
      <c r="I2" s="7">
        <v>0.49966300000000002</v>
      </c>
      <c r="J2" s="7">
        <v>1.62502E-3</v>
      </c>
    </row>
    <row r="3" spans="1:10" ht="16.05" customHeight="1">
      <c r="A3" s="3">
        <v>2</v>
      </c>
      <c r="B3" s="4">
        <v>10</v>
      </c>
      <c r="C3" s="6">
        <v>0.65400000000000003</v>
      </c>
      <c r="D3" s="4">
        <v>1</v>
      </c>
      <c r="E3" s="3" t="s">
        <v>10</v>
      </c>
      <c r="F3" s="4">
        <v>0</v>
      </c>
      <c r="G3" s="5">
        <f t="shared" si="0"/>
        <v>0</v>
      </c>
      <c r="H3" s="5">
        <f t="shared" si="1"/>
        <v>1</v>
      </c>
      <c r="I3" s="7">
        <v>1.3986400000000001</v>
      </c>
      <c r="J3" s="7">
        <v>1.7222700000000001E-2</v>
      </c>
    </row>
    <row r="4" spans="1:10" ht="16.05" customHeight="1">
      <c r="A4" s="3">
        <v>3</v>
      </c>
      <c r="B4" s="4">
        <v>15</v>
      </c>
      <c r="C4" s="6">
        <v>1.472</v>
      </c>
      <c r="D4" s="4">
        <v>1</v>
      </c>
      <c r="E4" s="3" t="s">
        <v>10</v>
      </c>
      <c r="F4" s="4">
        <v>0</v>
      </c>
      <c r="G4" s="5">
        <f t="shared" si="0"/>
        <v>0</v>
      </c>
      <c r="H4" s="5">
        <f t="shared" si="1"/>
        <v>1</v>
      </c>
      <c r="I4" s="7">
        <v>2.8244400000000001</v>
      </c>
      <c r="J4" s="7">
        <v>7.7510200000000001E-2</v>
      </c>
    </row>
    <row r="5" spans="1:10" ht="16.05" customHeight="1">
      <c r="A5" s="3">
        <v>4</v>
      </c>
      <c r="B5" s="4">
        <v>20</v>
      </c>
      <c r="C5" s="6">
        <v>2.6150000000000002</v>
      </c>
      <c r="D5" s="4">
        <v>1</v>
      </c>
      <c r="E5" s="3" t="s">
        <v>10</v>
      </c>
      <c r="F5" s="4">
        <v>0</v>
      </c>
      <c r="G5" s="5">
        <f t="shared" si="0"/>
        <v>0</v>
      </c>
      <c r="H5" s="5">
        <f t="shared" si="1"/>
        <v>1</v>
      </c>
      <c r="I5" s="7">
        <v>4.3043100000000001</v>
      </c>
      <c r="J5" s="7">
        <v>0.229738</v>
      </c>
    </row>
    <row r="6" spans="1:10" ht="16.05" customHeight="1">
      <c r="A6" s="3">
        <v>5</v>
      </c>
      <c r="B6" s="4">
        <v>5</v>
      </c>
      <c r="C6" s="6">
        <v>0.16300000000000001</v>
      </c>
      <c r="D6" s="4">
        <v>2</v>
      </c>
      <c r="E6" s="3" t="s">
        <v>10</v>
      </c>
      <c r="F6" s="4">
        <v>0</v>
      </c>
      <c r="G6" s="5">
        <f t="shared" si="0"/>
        <v>0</v>
      </c>
      <c r="H6" s="5">
        <f t="shared" si="1"/>
        <v>1</v>
      </c>
      <c r="I6" s="7">
        <v>0.49953799999999998</v>
      </c>
      <c r="J6" s="7">
        <v>1.6310700000000001E-3</v>
      </c>
    </row>
    <row r="7" spans="1:10" ht="16.05" customHeight="1">
      <c r="A7" s="3">
        <v>6</v>
      </c>
      <c r="B7" s="4">
        <v>10</v>
      </c>
      <c r="C7" s="6">
        <v>0.65400000000000003</v>
      </c>
      <c r="D7" s="4">
        <v>2</v>
      </c>
      <c r="E7" s="3" t="s">
        <v>10</v>
      </c>
      <c r="F7" s="4">
        <v>0</v>
      </c>
      <c r="G7" s="5">
        <f t="shared" si="0"/>
        <v>0</v>
      </c>
      <c r="H7" s="5">
        <f t="shared" si="1"/>
        <v>1</v>
      </c>
      <c r="I7" s="7">
        <v>1.4162600000000001</v>
      </c>
      <c r="J7" s="7">
        <v>1.69862E-2</v>
      </c>
    </row>
    <row r="8" spans="1:10" ht="16.05" customHeight="1">
      <c r="A8" s="3">
        <v>7</v>
      </c>
      <c r="B8" s="4">
        <v>15</v>
      </c>
      <c r="C8" s="6">
        <v>1.472</v>
      </c>
      <c r="D8" s="4">
        <v>2</v>
      </c>
      <c r="E8" s="3" t="s">
        <v>10</v>
      </c>
      <c r="F8" s="4">
        <v>0</v>
      </c>
      <c r="G8" s="5">
        <f t="shared" si="0"/>
        <v>0</v>
      </c>
      <c r="H8" s="5">
        <f t="shared" si="1"/>
        <v>1</v>
      </c>
      <c r="I8" s="7">
        <v>2.82796</v>
      </c>
      <c r="J8" s="7">
        <v>7.7646000000000007E-2</v>
      </c>
    </row>
    <row r="9" spans="1:10" ht="16.05" customHeight="1">
      <c r="A9" s="3">
        <v>8</v>
      </c>
      <c r="B9" s="4">
        <v>20</v>
      </c>
      <c r="C9" s="6">
        <v>2.6150000000000002</v>
      </c>
      <c r="D9" s="4">
        <v>2</v>
      </c>
      <c r="E9" s="3" t="s">
        <v>10</v>
      </c>
      <c r="F9" s="4">
        <v>0</v>
      </c>
      <c r="G9" s="5">
        <f t="shared" si="0"/>
        <v>0</v>
      </c>
      <c r="H9" s="5">
        <f t="shared" si="1"/>
        <v>1</v>
      </c>
      <c r="I9" s="7">
        <v>4.2069999999999999</v>
      </c>
      <c r="J9" s="7">
        <v>0.22554399999999999</v>
      </c>
    </row>
    <row r="10" spans="1:10" ht="16.05" customHeight="1">
      <c r="A10" s="3">
        <v>9</v>
      </c>
      <c r="B10" s="4">
        <v>5</v>
      </c>
      <c r="C10" s="6">
        <v>0.16300000000000001</v>
      </c>
      <c r="D10" s="4">
        <v>4</v>
      </c>
      <c r="E10" s="3" t="s">
        <v>10</v>
      </c>
      <c r="F10" s="4">
        <v>0</v>
      </c>
      <c r="G10" s="5">
        <f t="shared" si="0"/>
        <v>0</v>
      </c>
      <c r="H10" s="5">
        <f t="shared" si="1"/>
        <v>1</v>
      </c>
      <c r="I10" s="7">
        <v>0.49903599999999998</v>
      </c>
      <c r="J10" s="7">
        <v>1.63254E-3</v>
      </c>
    </row>
    <row r="11" spans="1:10" ht="16.05" customHeight="1">
      <c r="A11" s="3">
        <v>10</v>
      </c>
      <c r="B11" s="4">
        <v>10</v>
      </c>
      <c r="C11" s="6">
        <v>0.65400000000000003</v>
      </c>
      <c r="D11" s="4">
        <v>4</v>
      </c>
      <c r="E11" s="3" t="s">
        <v>10</v>
      </c>
      <c r="F11" s="4">
        <v>0</v>
      </c>
      <c r="G11" s="5">
        <f t="shared" si="0"/>
        <v>0</v>
      </c>
      <c r="H11" s="5">
        <f t="shared" si="1"/>
        <v>1</v>
      </c>
      <c r="I11" s="7">
        <v>1.41771</v>
      </c>
      <c r="J11" s="7">
        <v>1.6991599999999999E-2</v>
      </c>
    </row>
    <row r="12" spans="1:10" ht="16.05" customHeight="1">
      <c r="A12" s="3">
        <v>11</v>
      </c>
      <c r="B12" s="4">
        <v>15</v>
      </c>
      <c r="C12" s="6">
        <v>1.472</v>
      </c>
      <c r="D12" s="4">
        <v>4</v>
      </c>
      <c r="E12" s="3" t="s">
        <v>10</v>
      </c>
      <c r="F12" s="4">
        <v>0</v>
      </c>
      <c r="G12" s="5">
        <f t="shared" si="0"/>
        <v>0</v>
      </c>
      <c r="H12" s="5">
        <f t="shared" si="1"/>
        <v>1</v>
      </c>
      <c r="I12" s="7">
        <v>2.8252299999999999</v>
      </c>
      <c r="J12" s="7">
        <v>7.6942700000000003E-2</v>
      </c>
    </row>
    <row r="13" spans="1:10" ht="16.05" customHeight="1">
      <c r="A13" s="3">
        <v>12</v>
      </c>
      <c r="B13" s="4">
        <v>20</v>
      </c>
      <c r="C13" s="6">
        <v>2.6150000000000002</v>
      </c>
      <c r="D13" s="4">
        <v>4</v>
      </c>
      <c r="E13" s="3" t="s">
        <v>10</v>
      </c>
      <c r="F13" s="4">
        <v>0</v>
      </c>
      <c r="G13" s="5">
        <f t="shared" si="0"/>
        <v>0</v>
      </c>
      <c r="H13" s="5">
        <f t="shared" si="1"/>
        <v>1</v>
      </c>
      <c r="I13" s="7">
        <v>4.31982</v>
      </c>
      <c r="J13" s="7">
        <v>0.222718</v>
      </c>
    </row>
    <row r="14" spans="1:10" ht="16.05" customHeight="1">
      <c r="A14" s="3">
        <v>13</v>
      </c>
      <c r="B14" s="4">
        <v>5</v>
      </c>
      <c r="C14" s="6">
        <v>0.16300000000000001</v>
      </c>
      <c r="D14" s="4">
        <v>6</v>
      </c>
      <c r="E14" s="3" t="s">
        <v>10</v>
      </c>
      <c r="F14" s="4">
        <v>0</v>
      </c>
      <c r="G14" s="5">
        <f t="shared" si="0"/>
        <v>0</v>
      </c>
      <c r="H14" s="5">
        <f t="shared" si="1"/>
        <v>1</v>
      </c>
      <c r="I14" s="7">
        <v>0.52099499999999999</v>
      </c>
      <c r="J14" s="7">
        <v>1.65186E-3</v>
      </c>
    </row>
    <row r="15" spans="1:10" ht="16.05" customHeight="1">
      <c r="A15" s="3">
        <v>14</v>
      </c>
      <c r="B15" s="4">
        <v>10</v>
      </c>
      <c r="C15" s="6">
        <v>0.65400000000000003</v>
      </c>
      <c r="D15" s="4">
        <v>6</v>
      </c>
      <c r="E15" s="3" t="s">
        <v>10</v>
      </c>
      <c r="F15" s="4">
        <v>0</v>
      </c>
      <c r="G15" s="5">
        <f t="shared" si="0"/>
        <v>0</v>
      </c>
      <c r="H15" s="5">
        <f t="shared" si="1"/>
        <v>1</v>
      </c>
      <c r="I15" s="7">
        <v>1.4182399999999999</v>
      </c>
      <c r="J15" s="7">
        <v>1.6956200000000001E-2</v>
      </c>
    </row>
    <row r="16" spans="1:10" ht="16.05" customHeight="1">
      <c r="A16" s="3">
        <v>15</v>
      </c>
      <c r="B16" s="4">
        <v>15</v>
      </c>
      <c r="C16" s="6">
        <v>1.472</v>
      </c>
      <c r="D16" s="4">
        <v>6</v>
      </c>
      <c r="E16" s="3" t="s">
        <v>10</v>
      </c>
      <c r="F16" s="4">
        <v>0</v>
      </c>
      <c r="G16" s="5">
        <f t="shared" si="0"/>
        <v>0</v>
      </c>
      <c r="H16" s="5">
        <f t="shared" si="1"/>
        <v>1</v>
      </c>
      <c r="I16" s="7">
        <v>2.8250099999999998</v>
      </c>
      <c r="J16" s="7">
        <v>7.6230199999999998E-2</v>
      </c>
    </row>
    <row r="17" spans="1:10" ht="16.05" customHeight="1">
      <c r="A17" s="3">
        <v>16</v>
      </c>
      <c r="B17" s="4">
        <v>20</v>
      </c>
      <c r="C17" s="6">
        <v>2.6150000000000002</v>
      </c>
      <c r="D17" s="4">
        <v>6</v>
      </c>
      <c r="E17" s="3" t="s">
        <v>10</v>
      </c>
      <c r="F17" s="4">
        <v>0</v>
      </c>
      <c r="G17" s="5">
        <f t="shared" si="0"/>
        <v>0</v>
      </c>
      <c r="H17" s="5">
        <f t="shared" si="1"/>
        <v>1</v>
      </c>
      <c r="I17" s="7">
        <v>4.3296099999999997</v>
      </c>
      <c r="J17" s="7">
        <v>0.22836100000000001</v>
      </c>
    </row>
    <row r="18" spans="1:10" ht="16.05" customHeight="1">
      <c r="A18" s="3">
        <v>17</v>
      </c>
      <c r="B18" s="4">
        <v>5</v>
      </c>
      <c r="C18" s="6">
        <v>0.16300000000000001</v>
      </c>
      <c r="D18" s="4">
        <v>1</v>
      </c>
      <c r="E18" s="3" t="s">
        <v>11</v>
      </c>
      <c r="F18" s="4">
        <v>90</v>
      </c>
      <c r="G18" s="5">
        <f t="shared" si="0"/>
        <v>1</v>
      </c>
      <c r="H18" s="5">
        <f t="shared" si="1"/>
        <v>6.1257422745431001E-17</v>
      </c>
      <c r="I18" s="7">
        <v>0.52538799999999997</v>
      </c>
      <c r="J18" s="7">
        <v>1.7526099999999999E-3</v>
      </c>
    </row>
    <row r="19" spans="1:10" ht="16.05" customHeight="1">
      <c r="A19" s="3">
        <v>18</v>
      </c>
      <c r="B19" s="4">
        <v>10</v>
      </c>
      <c r="C19" s="6">
        <v>0.65400000000000003</v>
      </c>
      <c r="D19" s="4">
        <v>1</v>
      </c>
      <c r="E19" s="3" t="s">
        <v>11</v>
      </c>
      <c r="F19" s="4">
        <v>90</v>
      </c>
      <c r="G19" s="5">
        <f t="shared" si="0"/>
        <v>1</v>
      </c>
      <c r="H19" s="5">
        <f t="shared" si="1"/>
        <v>6.1257422745431001E-17</v>
      </c>
      <c r="I19" s="7">
        <v>1.4208099999999999</v>
      </c>
      <c r="J19" s="7">
        <v>1.66486E-2</v>
      </c>
    </row>
    <row r="20" spans="1:10" ht="16.05" customHeight="1">
      <c r="A20" s="3">
        <v>19</v>
      </c>
      <c r="B20" s="4">
        <v>15</v>
      </c>
      <c r="C20" s="6">
        <v>1.472</v>
      </c>
      <c r="D20" s="4">
        <v>1</v>
      </c>
      <c r="E20" s="3" t="s">
        <v>11</v>
      </c>
      <c r="F20" s="4">
        <v>90</v>
      </c>
      <c r="G20" s="5">
        <f t="shared" si="0"/>
        <v>1</v>
      </c>
      <c r="H20" s="5">
        <f t="shared" si="1"/>
        <v>6.1257422745431001E-17</v>
      </c>
      <c r="I20" s="7">
        <v>2.82897</v>
      </c>
      <c r="J20" s="7">
        <v>7.6194700000000004E-2</v>
      </c>
    </row>
    <row r="21" spans="1:10" ht="16.05" customHeight="1">
      <c r="A21" s="3">
        <v>20</v>
      </c>
      <c r="B21" s="4">
        <v>20</v>
      </c>
      <c r="C21" s="6">
        <v>2.6150000000000002</v>
      </c>
      <c r="D21" s="4">
        <v>1</v>
      </c>
      <c r="E21" s="3" t="s">
        <v>11</v>
      </c>
      <c r="F21" s="4">
        <v>90</v>
      </c>
      <c r="G21" s="5">
        <f t="shared" si="0"/>
        <v>1</v>
      </c>
      <c r="H21" s="5">
        <f t="shared" si="1"/>
        <v>6.1257422745431001E-17</v>
      </c>
      <c r="I21" s="7">
        <v>4.3111300000000004</v>
      </c>
      <c r="J21" s="7">
        <v>0.22145300000000001</v>
      </c>
    </row>
    <row r="22" spans="1:10" ht="16.05" customHeight="1">
      <c r="A22" s="3">
        <v>21</v>
      </c>
      <c r="B22" s="4">
        <v>5</v>
      </c>
      <c r="C22" s="6">
        <v>0.16300000000000001</v>
      </c>
      <c r="D22" s="4">
        <v>2</v>
      </c>
      <c r="E22" s="3" t="s">
        <v>11</v>
      </c>
      <c r="F22" s="4">
        <v>90</v>
      </c>
      <c r="G22" s="5">
        <f t="shared" si="0"/>
        <v>1</v>
      </c>
      <c r="H22" s="5">
        <f t="shared" si="1"/>
        <v>6.1257422745431001E-17</v>
      </c>
      <c r="I22" s="7">
        <v>0.52486699999999997</v>
      </c>
      <c r="J22" s="7">
        <v>1.7278700000000001E-3</v>
      </c>
    </row>
    <row r="23" spans="1:10" ht="16.05" customHeight="1">
      <c r="A23" s="3">
        <v>22</v>
      </c>
      <c r="B23" s="4">
        <v>10</v>
      </c>
      <c r="C23" s="6">
        <v>0.65400000000000003</v>
      </c>
      <c r="D23" s="4">
        <v>2</v>
      </c>
      <c r="E23" s="3" t="s">
        <v>11</v>
      </c>
      <c r="F23" s="4">
        <v>90</v>
      </c>
      <c r="G23" s="5">
        <f t="shared" si="0"/>
        <v>1</v>
      </c>
      <c r="H23" s="5">
        <f t="shared" si="1"/>
        <v>6.1257422745431001E-17</v>
      </c>
      <c r="I23" s="7">
        <v>1.4221999999999999</v>
      </c>
      <c r="J23" s="7">
        <v>1.67805E-2</v>
      </c>
    </row>
    <row r="24" spans="1:10" ht="16.05" customHeight="1">
      <c r="A24" s="3">
        <v>23</v>
      </c>
      <c r="B24" s="4">
        <v>15</v>
      </c>
      <c r="C24" s="6">
        <v>1.472</v>
      </c>
      <c r="D24" s="4">
        <v>2</v>
      </c>
      <c r="E24" s="3" t="s">
        <v>11</v>
      </c>
      <c r="F24" s="4">
        <v>90</v>
      </c>
      <c r="G24" s="5">
        <f t="shared" si="0"/>
        <v>1</v>
      </c>
      <c r="H24" s="5">
        <f t="shared" si="1"/>
        <v>6.1257422745431001E-17</v>
      </c>
      <c r="I24" s="7">
        <v>2.8254800000000002</v>
      </c>
      <c r="J24" s="7">
        <v>7.5917100000000001E-2</v>
      </c>
    </row>
    <row r="25" spans="1:10" ht="16.05" customHeight="1">
      <c r="A25" s="3">
        <v>24</v>
      </c>
      <c r="B25" s="4">
        <v>20</v>
      </c>
      <c r="C25" s="6">
        <v>2.6150000000000002</v>
      </c>
      <c r="D25" s="4">
        <v>2</v>
      </c>
      <c r="E25" s="3" t="s">
        <v>11</v>
      </c>
      <c r="F25" s="4">
        <v>90</v>
      </c>
      <c r="G25" s="5">
        <f t="shared" si="0"/>
        <v>1</v>
      </c>
      <c r="H25" s="5">
        <f t="shared" si="1"/>
        <v>6.1257422745431001E-17</v>
      </c>
      <c r="I25" s="7">
        <v>4.31806</v>
      </c>
      <c r="J25" s="7">
        <v>0.22597</v>
      </c>
    </row>
    <row r="26" spans="1:10" ht="16.05" customHeight="1">
      <c r="A26" s="3">
        <v>25</v>
      </c>
      <c r="B26" s="4">
        <v>5</v>
      </c>
      <c r="C26" s="6">
        <v>0.16300000000000001</v>
      </c>
      <c r="D26" s="4">
        <v>4</v>
      </c>
      <c r="E26" s="3" t="s">
        <v>11</v>
      </c>
      <c r="F26" s="4">
        <v>90</v>
      </c>
      <c r="G26" s="5">
        <f t="shared" si="0"/>
        <v>1</v>
      </c>
      <c r="H26" s="5">
        <f t="shared" si="1"/>
        <v>6.1257422745431001E-17</v>
      </c>
      <c r="I26" s="7">
        <v>0.52449500000000004</v>
      </c>
      <c r="J26" s="7">
        <v>1.7659799999999999E-3</v>
      </c>
    </row>
    <row r="27" spans="1:10" ht="16.05" customHeight="1">
      <c r="A27" s="3">
        <v>26</v>
      </c>
      <c r="B27" s="4">
        <v>10</v>
      </c>
      <c r="C27" s="6">
        <v>0.65400000000000003</v>
      </c>
      <c r="D27" s="4">
        <v>4</v>
      </c>
      <c r="E27" s="3" t="s">
        <v>11</v>
      </c>
      <c r="F27" s="4">
        <v>90</v>
      </c>
      <c r="G27" s="5">
        <f t="shared" si="0"/>
        <v>1</v>
      </c>
      <c r="H27" s="5">
        <f t="shared" si="1"/>
        <v>6.1257422745431001E-17</v>
      </c>
      <c r="I27" s="7">
        <v>1.4190100000000001</v>
      </c>
      <c r="J27" s="7">
        <v>1.68348E-2</v>
      </c>
    </row>
    <row r="28" spans="1:10" ht="16.05" customHeight="1">
      <c r="A28" s="3">
        <v>27</v>
      </c>
      <c r="B28" s="4">
        <v>15</v>
      </c>
      <c r="C28" s="6">
        <v>1.472</v>
      </c>
      <c r="D28" s="4">
        <v>4</v>
      </c>
      <c r="E28" s="3" t="s">
        <v>11</v>
      </c>
      <c r="F28" s="4">
        <v>90</v>
      </c>
      <c r="G28" s="5">
        <f t="shared" si="0"/>
        <v>1</v>
      </c>
      <c r="H28" s="5">
        <f t="shared" si="1"/>
        <v>6.1257422745431001E-17</v>
      </c>
      <c r="I28" s="7">
        <v>2.7835299999999998</v>
      </c>
      <c r="J28" s="7">
        <v>7.6639100000000002E-2</v>
      </c>
    </row>
    <row r="29" spans="1:10" ht="16.05" customHeight="1">
      <c r="A29" s="3">
        <v>28</v>
      </c>
      <c r="B29" s="4">
        <v>20</v>
      </c>
      <c r="C29" s="6">
        <v>2.6150000000000002</v>
      </c>
      <c r="D29" s="4">
        <v>4</v>
      </c>
      <c r="E29" s="3" t="s">
        <v>11</v>
      </c>
      <c r="F29" s="4">
        <v>90</v>
      </c>
      <c r="G29" s="5">
        <f t="shared" si="0"/>
        <v>1</v>
      </c>
      <c r="H29" s="5">
        <f t="shared" si="1"/>
        <v>6.1257422745431001E-17</v>
      </c>
      <c r="I29" s="7">
        <v>4.4269800000000004</v>
      </c>
      <c r="J29" s="7">
        <v>0.23336799999999999</v>
      </c>
    </row>
    <row r="30" spans="1:10" ht="16.05" customHeight="1">
      <c r="A30" s="3">
        <v>29</v>
      </c>
      <c r="B30" s="4">
        <v>5</v>
      </c>
      <c r="C30" s="6">
        <v>0.16300000000000001</v>
      </c>
      <c r="D30" s="4">
        <v>6</v>
      </c>
      <c r="E30" s="3" t="s">
        <v>11</v>
      </c>
      <c r="F30" s="4">
        <v>90</v>
      </c>
      <c r="G30" s="5">
        <f t="shared" si="0"/>
        <v>1</v>
      </c>
      <c r="H30" s="5">
        <f t="shared" si="1"/>
        <v>6.1257422745431001E-17</v>
      </c>
      <c r="I30" s="7">
        <v>0.523868</v>
      </c>
      <c r="J30" s="7">
        <v>1.75724E-3</v>
      </c>
    </row>
    <row r="31" spans="1:10" ht="16.05" customHeight="1">
      <c r="A31" s="3">
        <v>30</v>
      </c>
      <c r="B31" s="4">
        <v>10</v>
      </c>
      <c r="C31" s="6">
        <v>0.65400000000000003</v>
      </c>
      <c r="D31" s="4">
        <v>6</v>
      </c>
      <c r="E31" s="3" t="s">
        <v>11</v>
      </c>
      <c r="F31" s="4">
        <v>90</v>
      </c>
      <c r="G31" s="5">
        <f t="shared" si="0"/>
        <v>1</v>
      </c>
      <c r="H31" s="5">
        <f t="shared" si="1"/>
        <v>6.1257422745431001E-17</v>
      </c>
      <c r="I31" s="7">
        <v>1.41852</v>
      </c>
      <c r="J31" s="7">
        <v>1.69681E-2</v>
      </c>
    </row>
    <row r="32" spans="1:10" ht="16.05" customHeight="1">
      <c r="A32" s="3">
        <v>31</v>
      </c>
      <c r="B32" s="4">
        <v>15</v>
      </c>
      <c r="C32" s="6">
        <v>1.472</v>
      </c>
      <c r="D32" s="4">
        <v>6</v>
      </c>
      <c r="E32" s="3" t="s">
        <v>11</v>
      </c>
      <c r="F32" s="4">
        <v>90</v>
      </c>
      <c r="G32" s="5">
        <f t="shared" si="0"/>
        <v>1</v>
      </c>
      <c r="H32" s="5">
        <f t="shared" si="1"/>
        <v>6.1257422745431001E-17</v>
      </c>
      <c r="I32" s="7">
        <v>2.7698299999999998</v>
      </c>
      <c r="J32" s="7">
        <v>7.7090800000000001E-2</v>
      </c>
    </row>
    <row r="33" spans="1:10" ht="16.05" customHeight="1">
      <c r="A33" s="3">
        <v>32</v>
      </c>
      <c r="B33" s="4">
        <v>20</v>
      </c>
      <c r="C33" s="6">
        <v>2.6150000000000002</v>
      </c>
      <c r="D33" s="4">
        <v>6</v>
      </c>
      <c r="E33" s="3" t="s">
        <v>11</v>
      </c>
      <c r="F33" s="4">
        <v>90</v>
      </c>
      <c r="G33" s="5">
        <f t="shared" si="0"/>
        <v>1</v>
      </c>
      <c r="H33" s="5">
        <f t="shared" si="1"/>
        <v>6.1257422745431001E-17</v>
      </c>
      <c r="I33" s="7">
        <v>4.4316399999999998</v>
      </c>
      <c r="J33" s="7">
        <v>0.23763899999999999</v>
      </c>
    </row>
    <row r="34" spans="1:10" ht="16.05" customHeight="1">
      <c r="A34" s="3">
        <v>33</v>
      </c>
      <c r="B34" s="4">
        <v>5</v>
      </c>
      <c r="C34" s="6">
        <v>0.16300000000000001</v>
      </c>
      <c r="D34" s="4">
        <v>1</v>
      </c>
      <c r="E34" s="3" t="s">
        <v>12</v>
      </c>
      <c r="F34" s="4">
        <v>180</v>
      </c>
      <c r="G34" s="5">
        <f t="shared" ref="G34:G65" si="2">SIN(RADIANS(F34))</f>
        <v>1.22514845490862E-16</v>
      </c>
      <c r="H34" s="5">
        <f t="shared" ref="H34:H65" si="3">COS(RADIANS(F34))</f>
        <v>-1</v>
      </c>
      <c r="I34" s="7">
        <v>0.52286100000000002</v>
      </c>
      <c r="J34" s="7">
        <v>1.7559800000000001E-3</v>
      </c>
    </row>
    <row r="35" spans="1:10" ht="16.05" customHeight="1">
      <c r="A35" s="3">
        <v>34</v>
      </c>
      <c r="B35" s="4">
        <v>10</v>
      </c>
      <c r="C35" s="6">
        <v>0.65400000000000003</v>
      </c>
      <c r="D35" s="4">
        <v>1</v>
      </c>
      <c r="E35" s="3" t="s">
        <v>12</v>
      </c>
      <c r="F35" s="4">
        <v>180</v>
      </c>
      <c r="G35" s="5">
        <f t="shared" si="2"/>
        <v>1.22514845490862E-16</v>
      </c>
      <c r="H35" s="5">
        <f t="shared" si="3"/>
        <v>-1</v>
      </c>
      <c r="I35" s="7">
        <v>1.32531</v>
      </c>
      <c r="J35" s="7">
        <v>1.64107E-2</v>
      </c>
    </row>
    <row r="36" spans="1:10" ht="16.05" customHeight="1">
      <c r="A36" s="3">
        <v>35</v>
      </c>
      <c r="B36" s="4">
        <v>15</v>
      </c>
      <c r="C36" s="6">
        <v>1.472</v>
      </c>
      <c r="D36" s="4">
        <v>1</v>
      </c>
      <c r="E36" s="3" t="s">
        <v>12</v>
      </c>
      <c r="F36" s="4">
        <v>180</v>
      </c>
      <c r="G36" s="5">
        <f t="shared" si="2"/>
        <v>1.22514845490862E-16</v>
      </c>
      <c r="H36" s="5">
        <f t="shared" si="3"/>
        <v>-1</v>
      </c>
      <c r="I36" s="7">
        <v>2.8375300000000001</v>
      </c>
      <c r="J36" s="7">
        <v>7.7835000000000001E-2</v>
      </c>
    </row>
    <row r="37" spans="1:10" ht="16.05" customHeight="1">
      <c r="A37" s="3">
        <v>36</v>
      </c>
      <c r="B37" s="4">
        <v>20</v>
      </c>
      <c r="C37" s="6">
        <v>2.6150000000000002</v>
      </c>
      <c r="D37" s="4">
        <v>1</v>
      </c>
      <c r="E37" s="3" t="s">
        <v>12</v>
      </c>
      <c r="F37" s="4">
        <v>180</v>
      </c>
      <c r="G37" s="5">
        <f t="shared" si="2"/>
        <v>1.22514845490862E-16</v>
      </c>
      <c r="H37" s="5">
        <f t="shared" si="3"/>
        <v>-1</v>
      </c>
      <c r="I37" s="7">
        <v>4.3309499999999996</v>
      </c>
      <c r="J37" s="7">
        <v>0.229627</v>
      </c>
    </row>
    <row r="38" spans="1:10" ht="16.05" customHeight="1">
      <c r="A38" s="3">
        <v>37</v>
      </c>
      <c r="B38" s="4">
        <v>5</v>
      </c>
      <c r="C38" s="6">
        <v>0.16300000000000001</v>
      </c>
      <c r="D38" s="4">
        <v>2</v>
      </c>
      <c r="E38" s="3" t="s">
        <v>12</v>
      </c>
      <c r="F38" s="4">
        <v>180</v>
      </c>
      <c r="G38" s="5">
        <f t="shared" si="2"/>
        <v>1.22514845490862E-16</v>
      </c>
      <c r="H38" s="5">
        <f t="shared" si="3"/>
        <v>-1</v>
      </c>
      <c r="I38" s="7">
        <v>0.52291299999999996</v>
      </c>
      <c r="J38" s="7">
        <v>1.7565599999999999E-3</v>
      </c>
    </row>
    <row r="39" spans="1:10" ht="16.05" customHeight="1">
      <c r="A39" s="3">
        <v>38</v>
      </c>
      <c r="B39" s="4">
        <v>10</v>
      </c>
      <c r="C39" s="6">
        <v>0.65400000000000003</v>
      </c>
      <c r="D39" s="4">
        <v>2</v>
      </c>
      <c r="E39" s="3" t="s">
        <v>12</v>
      </c>
      <c r="F39" s="4">
        <v>180</v>
      </c>
      <c r="G39" s="5">
        <f t="shared" si="2"/>
        <v>1.22514845490862E-16</v>
      </c>
      <c r="H39" s="5">
        <f t="shared" si="3"/>
        <v>-1</v>
      </c>
      <c r="I39" s="7">
        <v>1.3254300000000001</v>
      </c>
      <c r="J39" s="7">
        <v>1.6552000000000001E-2</v>
      </c>
    </row>
    <row r="40" spans="1:10" ht="16.05" customHeight="1">
      <c r="A40" s="3">
        <v>39</v>
      </c>
      <c r="B40" s="4">
        <v>15</v>
      </c>
      <c r="C40" s="6">
        <v>1.472</v>
      </c>
      <c r="D40" s="4">
        <v>2</v>
      </c>
      <c r="E40" s="3" t="s">
        <v>12</v>
      </c>
      <c r="F40" s="4">
        <v>180</v>
      </c>
      <c r="G40" s="5">
        <f t="shared" si="2"/>
        <v>1.22514845490862E-16</v>
      </c>
      <c r="H40" s="5">
        <f t="shared" si="3"/>
        <v>-1</v>
      </c>
      <c r="I40" s="7">
        <v>2.8437899999999998</v>
      </c>
      <c r="J40" s="7">
        <v>7.9267199999999996E-2</v>
      </c>
    </row>
    <row r="41" spans="1:10" ht="16.05" customHeight="1">
      <c r="A41" s="3">
        <v>40</v>
      </c>
      <c r="B41" s="4">
        <v>20</v>
      </c>
      <c r="C41" s="6">
        <v>2.6150000000000002</v>
      </c>
      <c r="D41" s="4">
        <v>2</v>
      </c>
      <c r="E41" s="3" t="s">
        <v>12</v>
      </c>
      <c r="F41" s="4">
        <v>180</v>
      </c>
      <c r="G41" s="5">
        <f t="shared" si="2"/>
        <v>1.22514845490862E-16</v>
      </c>
      <c r="H41" s="5">
        <f t="shared" si="3"/>
        <v>-1</v>
      </c>
      <c r="I41" s="7">
        <v>4.3293799999999996</v>
      </c>
      <c r="J41" s="7">
        <v>0.22712199999999999</v>
      </c>
    </row>
    <row r="42" spans="1:10" ht="16.05" customHeight="1">
      <c r="A42" s="3">
        <v>41</v>
      </c>
      <c r="B42" s="4">
        <v>5</v>
      </c>
      <c r="C42" s="6">
        <v>0.16300000000000001</v>
      </c>
      <c r="D42" s="4">
        <v>4</v>
      </c>
      <c r="E42" s="3" t="s">
        <v>12</v>
      </c>
      <c r="F42" s="4">
        <v>180</v>
      </c>
      <c r="G42" s="5">
        <f t="shared" si="2"/>
        <v>1.22514845490862E-16</v>
      </c>
      <c r="H42" s="5">
        <f t="shared" si="3"/>
        <v>-1</v>
      </c>
      <c r="I42" s="7">
        <v>0.52211700000000005</v>
      </c>
      <c r="J42" s="7">
        <v>1.75767E-3</v>
      </c>
    </row>
    <row r="43" spans="1:10" ht="16.05" customHeight="1">
      <c r="A43" s="3">
        <v>42</v>
      </c>
      <c r="B43" s="4">
        <v>10</v>
      </c>
      <c r="C43" s="6">
        <v>0.65400000000000003</v>
      </c>
      <c r="D43" s="4">
        <v>4</v>
      </c>
      <c r="E43" s="3" t="s">
        <v>12</v>
      </c>
      <c r="F43" s="4">
        <v>180</v>
      </c>
      <c r="G43" s="5">
        <f t="shared" si="2"/>
        <v>1.22514845490862E-16</v>
      </c>
      <c r="H43" s="5">
        <f t="shared" si="3"/>
        <v>-1</v>
      </c>
      <c r="I43" s="7">
        <v>1.3248</v>
      </c>
      <c r="J43" s="7">
        <v>1.6556700000000001E-2</v>
      </c>
    </row>
    <row r="44" spans="1:10" ht="16.05" customHeight="1">
      <c r="A44" s="3">
        <v>43</v>
      </c>
      <c r="B44" s="4">
        <v>15</v>
      </c>
      <c r="C44" s="6">
        <v>1.472</v>
      </c>
      <c r="D44" s="4">
        <v>4</v>
      </c>
      <c r="E44" s="3" t="s">
        <v>12</v>
      </c>
      <c r="F44" s="4">
        <v>180</v>
      </c>
      <c r="G44" s="5">
        <f t="shared" si="2"/>
        <v>1.22514845490862E-16</v>
      </c>
      <c r="H44" s="5">
        <f t="shared" si="3"/>
        <v>-1</v>
      </c>
      <c r="I44" s="7">
        <v>2.8393799999999998</v>
      </c>
      <c r="J44" s="7">
        <v>7.87244E-2</v>
      </c>
    </row>
    <row r="45" spans="1:10" ht="16.05" customHeight="1">
      <c r="A45" s="3">
        <v>44</v>
      </c>
      <c r="B45" s="4">
        <v>20</v>
      </c>
      <c r="C45" s="6">
        <v>2.6150000000000002</v>
      </c>
      <c r="D45" s="4">
        <v>4</v>
      </c>
      <c r="E45" s="3" t="s">
        <v>12</v>
      </c>
      <c r="F45" s="4">
        <v>180</v>
      </c>
      <c r="G45" s="5">
        <f t="shared" si="2"/>
        <v>1.22514845490862E-16</v>
      </c>
      <c r="H45" s="5">
        <f t="shared" si="3"/>
        <v>-1</v>
      </c>
      <c r="I45" s="7">
        <v>4.3231799999999998</v>
      </c>
      <c r="J45" s="7">
        <v>0.223277</v>
      </c>
    </row>
    <row r="46" spans="1:10" ht="16.05" customHeight="1">
      <c r="A46" s="3">
        <v>45</v>
      </c>
      <c r="B46" s="4">
        <v>5</v>
      </c>
      <c r="C46" s="6">
        <v>0.16300000000000001</v>
      </c>
      <c r="D46" s="4">
        <v>6</v>
      </c>
      <c r="E46" s="3" t="s">
        <v>12</v>
      </c>
      <c r="F46" s="4">
        <v>180</v>
      </c>
      <c r="G46" s="5">
        <f t="shared" si="2"/>
        <v>1.22514845490862E-16</v>
      </c>
      <c r="H46" s="5">
        <f t="shared" si="3"/>
        <v>-1</v>
      </c>
      <c r="I46" s="7">
        <v>0.52049299999999998</v>
      </c>
      <c r="J46" s="7">
        <v>1.7499600000000001E-3</v>
      </c>
    </row>
    <row r="47" spans="1:10" ht="16.05" customHeight="1">
      <c r="A47" s="3">
        <v>46</v>
      </c>
      <c r="B47" s="4">
        <v>10</v>
      </c>
      <c r="C47" s="6">
        <v>0.65400000000000003</v>
      </c>
      <c r="D47" s="4">
        <v>6</v>
      </c>
      <c r="E47" s="3" t="s">
        <v>12</v>
      </c>
      <c r="F47" s="4">
        <v>180</v>
      </c>
      <c r="G47" s="5">
        <f t="shared" si="2"/>
        <v>1.22514845490862E-16</v>
      </c>
      <c r="H47" s="5">
        <f t="shared" si="3"/>
        <v>-1</v>
      </c>
      <c r="I47" s="7">
        <v>1.3244199999999999</v>
      </c>
      <c r="J47" s="7">
        <v>1.6479299999999999E-2</v>
      </c>
    </row>
    <row r="48" spans="1:10" ht="16.05" customHeight="1">
      <c r="A48" s="3">
        <v>47</v>
      </c>
      <c r="B48" s="4">
        <v>15</v>
      </c>
      <c r="C48" s="6">
        <v>1.472</v>
      </c>
      <c r="D48" s="4">
        <v>6</v>
      </c>
      <c r="E48" s="3" t="s">
        <v>12</v>
      </c>
      <c r="F48" s="4">
        <v>180</v>
      </c>
      <c r="G48" s="5">
        <f t="shared" si="2"/>
        <v>1.22514845490862E-16</v>
      </c>
      <c r="H48" s="5">
        <f t="shared" si="3"/>
        <v>-1</v>
      </c>
      <c r="I48" s="7">
        <v>2.8325499999999999</v>
      </c>
      <c r="J48" s="7">
        <v>7.7752799999999997E-2</v>
      </c>
    </row>
    <row r="49" spans="1:10" ht="16.05" customHeight="1">
      <c r="A49" s="3">
        <v>48</v>
      </c>
      <c r="B49" s="4">
        <v>20</v>
      </c>
      <c r="C49" s="6">
        <v>2.6150000000000002</v>
      </c>
      <c r="D49" s="4">
        <v>6</v>
      </c>
      <c r="E49" s="3" t="s">
        <v>12</v>
      </c>
      <c r="F49" s="4">
        <v>180</v>
      </c>
      <c r="G49" s="5">
        <f t="shared" si="2"/>
        <v>1.22514845490862E-16</v>
      </c>
      <c r="H49" s="5">
        <f t="shared" si="3"/>
        <v>-1</v>
      </c>
      <c r="I49" s="7">
        <v>4.19712</v>
      </c>
      <c r="J49" s="7">
        <v>0.231651</v>
      </c>
    </row>
    <row r="50" spans="1:10" ht="16.05" customHeight="1">
      <c r="A50" s="3">
        <v>49</v>
      </c>
      <c r="B50" s="4">
        <v>5</v>
      </c>
      <c r="C50" s="6">
        <v>0.16300000000000001</v>
      </c>
      <c r="D50" s="4">
        <v>1</v>
      </c>
      <c r="E50" s="3" t="s">
        <v>13</v>
      </c>
      <c r="F50" s="4">
        <v>270</v>
      </c>
      <c r="G50" s="5">
        <f t="shared" si="2"/>
        <v>-1</v>
      </c>
      <c r="H50" s="5">
        <f t="shared" si="3"/>
        <v>-1.83772268236293E-16</v>
      </c>
      <c r="I50" s="7">
        <v>0.52593500000000004</v>
      </c>
      <c r="J50" s="7">
        <v>1.74289E-3</v>
      </c>
    </row>
    <row r="51" spans="1:10" ht="16.05" customHeight="1">
      <c r="A51" s="3">
        <v>50</v>
      </c>
      <c r="B51" s="4">
        <v>10</v>
      </c>
      <c r="C51" s="6">
        <v>0.65400000000000003</v>
      </c>
      <c r="D51" s="4">
        <v>1</v>
      </c>
      <c r="E51" s="3" t="s">
        <v>13</v>
      </c>
      <c r="F51" s="4">
        <v>270</v>
      </c>
      <c r="G51" s="5">
        <f t="shared" si="2"/>
        <v>-1</v>
      </c>
      <c r="H51" s="5">
        <f t="shared" si="3"/>
        <v>-1.83772268236293E-16</v>
      </c>
      <c r="I51" s="7">
        <v>1.23702</v>
      </c>
      <c r="J51" s="7">
        <v>1.6664200000000001E-2</v>
      </c>
    </row>
    <row r="52" spans="1:10" ht="16.05" customHeight="1">
      <c r="A52" s="3">
        <v>51</v>
      </c>
      <c r="B52" s="4">
        <v>15</v>
      </c>
      <c r="C52" s="6">
        <v>1.472</v>
      </c>
      <c r="D52" s="4">
        <v>1</v>
      </c>
      <c r="E52" s="3" t="s">
        <v>13</v>
      </c>
      <c r="F52" s="4">
        <v>270</v>
      </c>
      <c r="G52" s="5">
        <f t="shared" si="2"/>
        <v>-1</v>
      </c>
      <c r="H52" s="5">
        <f t="shared" si="3"/>
        <v>-1.83772268236293E-16</v>
      </c>
      <c r="I52" s="7">
        <v>2.7695099999999999</v>
      </c>
      <c r="J52" s="7">
        <v>7.8817200000000004E-2</v>
      </c>
    </row>
    <row r="53" spans="1:10" ht="16.05" customHeight="1">
      <c r="A53" s="3">
        <v>52</v>
      </c>
      <c r="B53" s="4">
        <v>20</v>
      </c>
      <c r="C53" s="6">
        <v>2.6150000000000002</v>
      </c>
      <c r="D53" s="4">
        <v>1</v>
      </c>
      <c r="E53" s="3" t="s">
        <v>13</v>
      </c>
      <c r="F53" s="4">
        <v>270</v>
      </c>
      <c r="G53" s="5">
        <f t="shared" si="2"/>
        <v>-1</v>
      </c>
      <c r="H53" s="5">
        <f t="shared" si="3"/>
        <v>-1.83772268236293E-16</v>
      </c>
      <c r="I53" s="7">
        <v>4.1059700000000001</v>
      </c>
      <c r="J53" s="7">
        <v>0.21132500000000001</v>
      </c>
    </row>
    <row r="54" spans="1:10" ht="16.05" customHeight="1">
      <c r="A54" s="3">
        <v>53</v>
      </c>
      <c r="B54" s="4">
        <v>5</v>
      </c>
      <c r="C54" s="6">
        <v>0.16300000000000001</v>
      </c>
      <c r="D54" s="4">
        <v>2</v>
      </c>
      <c r="E54" s="3" t="s">
        <v>13</v>
      </c>
      <c r="F54" s="4">
        <v>270</v>
      </c>
      <c r="G54" s="5">
        <f t="shared" si="2"/>
        <v>-1</v>
      </c>
      <c r="H54" s="5">
        <f t="shared" si="3"/>
        <v>-1.83772268236293E-16</v>
      </c>
      <c r="I54" s="7">
        <v>0.52510999999999997</v>
      </c>
      <c r="J54" s="7">
        <v>1.7183999999999999E-3</v>
      </c>
    </row>
    <row r="55" spans="1:10" ht="16.05" customHeight="1">
      <c r="A55" s="3">
        <v>54</v>
      </c>
      <c r="B55" s="4">
        <v>10</v>
      </c>
      <c r="C55" s="6">
        <v>0.65400000000000003</v>
      </c>
      <c r="D55" s="4">
        <v>2</v>
      </c>
      <c r="E55" s="3" t="s">
        <v>13</v>
      </c>
      <c r="F55" s="4">
        <v>270</v>
      </c>
      <c r="G55" s="5">
        <f t="shared" si="2"/>
        <v>-1</v>
      </c>
      <c r="H55" s="5">
        <f t="shared" si="3"/>
        <v>-1.83772268236293E-16</v>
      </c>
      <c r="I55" s="7">
        <v>1.24072</v>
      </c>
      <c r="J55" s="7">
        <v>1.7048899999999999E-2</v>
      </c>
    </row>
    <row r="56" spans="1:10" ht="16.05" customHeight="1">
      <c r="A56" s="3">
        <v>55</v>
      </c>
      <c r="B56" s="4">
        <v>15</v>
      </c>
      <c r="C56" s="6">
        <v>1.472</v>
      </c>
      <c r="D56" s="4">
        <v>2</v>
      </c>
      <c r="E56" s="3" t="s">
        <v>13</v>
      </c>
      <c r="F56" s="4">
        <v>270</v>
      </c>
      <c r="G56" s="5">
        <f t="shared" si="2"/>
        <v>-1</v>
      </c>
      <c r="H56" s="5">
        <f t="shared" si="3"/>
        <v>-1.83772268236293E-16</v>
      </c>
      <c r="I56" s="7">
        <v>2.7768999999999999</v>
      </c>
      <c r="J56" s="7">
        <v>7.7717900000000006E-2</v>
      </c>
    </row>
    <row r="57" spans="1:10" ht="16.05" customHeight="1">
      <c r="A57" s="3">
        <v>56</v>
      </c>
      <c r="B57" s="4">
        <v>20</v>
      </c>
      <c r="C57" s="6">
        <v>2.6150000000000002</v>
      </c>
      <c r="D57" s="4">
        <v>2</v>
      </c>
      <c r="E57" s="3" t="s">
        <v>13</v>
      </c>
      <c r="F57" s="4">
        <v>270</v>
      </c>
      <c r="G57" s="5">
        <f t="shared" si="2"/>
        <v>-1</v>
      </c>
      <c r="H57" s="5">
        <f t="shared" si="3"/>
        <v>-1.83772268236293E-16</v>
      </c>
      <c r="I57" s="7">
        <v>4.1089399999999996</v>
      </c>
      <c r="J57" s="7">
        <v>0.21137</v>
      </c>
    </row>
    <row r="58" spans="1:10" ht="16.05" customHeight="1">
      <c r="A58" s="3">
        <v>57</v>
      </c>
      <c r="B58" s="4">
        <v>5</v>
      </c>
      <c r="C58" s="6">
        <v>0.16300000000000001</v>
      </c>
      <c r="D58" s="4">
        <v>4</v>
      </c>
      <c r="E58" s="3" t="s">
        <v>13</v>
      </c>
      <c r="F58" s="4">
        <v>270</v>
      </c>
      <c r="G58" s="5">
        <f t="shared" si="2"/>
        <v>-1</v>
      </c>
      <c r="H58" s="5">
        <f t="shared" si="3"/>
        <v>-1.83772268236293E-16</v>
      </c>
      <c r="I58" s="7">
        <v>0.52491200000000005</v>
      </c>
      <c r="J58" s="7">
        <v>1.73205E-3</v>
      </c>
    </row>
    <row r="59" spans="1:10" ht="16.05" customHeight="1">
      <c r="A59" s="3">
        <v>58</v>
      </c>
      <c r="B59" s="4">
        <v>10</v>
      </c>
      <c r="C59" s="6">
        <v>0.65400000000000003</v>
      </c>
      <c r="D59" s="4">
        <v>4</v>
      </c>
      <c r="E59" s="3" t="s">
        <v>13</v>
      </c>
      <c r="F59" s="4">
        <v>270</v>
      </c>
      <c r="G59" s="5">
        <f t="shared" si="2"/>
        <v>-1</v>
      </c>
      <c r="H59" s="5">
        <f t="shared" si="3"/>
        <v>-1.83772268236293E-16</v>
      </c>
      <c r="I59" s="7">
        <v>1.24299</v>
      </c>
      <c r="J59" s="7">
        <v>1.7319500000000002E-2</v>
      </c>
    </row>
    <row r="60" spans="1:10" ht="16.05" customHeight="1">
      <c r="A60" s="3">
        <v>59</v>
      </c>
      <c r="B60" s="4">
        <v>15</v>
      </c>
      <c r="C60" s="6">
        <v>1.472</v>
      </c>
      <c r="D60" s="4">
        <v>4</v>
      </c>
      <c r="E60" s="3" t="s">
        <v>13</v>
      </c>
      <c r="F60" s="4">
        <v>270</v>
      </c>
      <c r="G60" s="5">
        <f t="shared" si="2"/>
        <v>-1</v>
      </c>
      <c r="H60" s="5">
        <f t="shared" si="3"/>
        <v>-1.83772268236293E-16</v>
      </c>
      <c r="I60" s="7">
        <v>2.7787899999999999</v>
      </c>
      <c r="J60" s="7">
        <v>7.6712299999999997E-2</v>
      </c>
    </row>
    <row r="61" spans="1:10" ht="16.05" customHeight="1">
      <c r="A61" s="3">
        <v>60</v>
      </c>
      <c r="B61" s="4">
        <v>20</v>
      </c>
      <c r="C61" s="6">
        <v>2.6150000000000002</v>
      </c>
      <c r="D61" s="4">
        <v>4</v>
      </c>
      <c r="E61" s="3" t="s">
        <v>13</v>
      </c>
      <c r="F61" s="4">
        <v>270</v>
      </c>
      <c r="G61" s="5">
        <f t="shared" si="2"/>
        <v>-1</v>
      </c>
      <c r="H61" s="5">
        <f t="shared" si="3"/>
        <v>-1.83772268236293E-16</v>
      </c>
      <c r="I61" s="7">
        <v>4.0767800000000003</v>
      </c>
      <c r="J61" s="7">
        <v>0.21306800000000001</v>
      </c>
    </row>
    <row r="62" spans="1:10" ht="16.05" customHeight="1">
      <c r="A62" s="3">
        <v>61</v>
      </c>
      <c r="B62" s="4">
        <v>5</v>
      </c>
      <c r="C62" s="6">
        <v>0.16300000000000001</v>
      </c>
      <c r="D62" s="4">
        <v>6</v>
      </c>
      <c r="E62" s="3" t="s">
        <v>13</v>
      </c>
      <c r="F62" s="4">
        <v>270</v>
      </c>
      <c r="G62" s="5">
        <f t="shared" si="2"/>
        <v>-1</v>
      </c>
      <c r="H62" s="5">
        <f t="shared" si="3"/>
        <v>-1.83772268236293E-16</v>
      </c>
      <c r="I62" s="7">
        <v>0.52492899999999998</v>
      </c>
      <c r="J62" s="7">
        <v>1.70199E-3</v>
      </c>
    </row>
    <row r="63" spans="1:10" ht="16.05" customHeight="1">
      <c r="A63" s="3">
        <v>62</v>
      </c>
      <c r="B63" s="4">
        <v>10</v>
      </c>
      <c r="C63" s="6">
        <v>0.65400000000000003</v>
      </c>
      <c r="D63" s="4">
        <v>6</v>
      </c>
      <c r="E63" s="3" t="s">
        <v>13</v>
      </c>
      <c r="F63" s="4">
        <v>270</v>
      </c>
      <c r="G63" s="5">
        <f t="shared" si="2"/>
        <v>-1</v>
      </c>
      <c r="H63" s="5">
        <f t="shared" si="3"/>
        <v>-1.83772268236293E-16</v>
      </c>
      <c r="I63" s="7">
        <v>1.2436799999999999</v>
      </c>
      <c r="J63" s="7">
        <v>1.7024299999999999E-2</v>
      </c>
    </row>
    <row r="64" spans="1:10" ht="16.05" customHeight="1">
      <c r="A64" s="3">
        <v>63</v>
      </c>
      <c r="B64" s="4">
        <v>15</v>
      </c>
      <c r="C64" s="6">
        <v>1.472</v>
      </c>
      <c r="D64" s="4">
        <v>6</v>
      </c>
      <c r="E64" s="3" t="s">
        <v>13</v>
      </c>
      <c r="F64" s="4">
        <v>270</v>
      </c>
      <c r="G64" s="5">
        <f t="shared" si="2"/>
        <v>-1</v>
      </c>
      <c r="H64" s="5">
        <f t="shared" si="3"/>
        <v>-1.83772268236293E-16</v>
      </c>
      <c r="I64" s="7">
        <v>2.7721200000000001</v>
      </c>
      <c r="J64" s="7">
        <v>7.8399399999999994E-2</v>
      </c>
    </row>
    <row r="65" spans="1:10" ht="16.05" customHeight="1">
      <c r="A65" s="3">
        <v>64</v>
      </c>
      <c r="B65" s="4">
        <v>20</v>
      </c>
      <c r="C65" s="6">
        <v>2.6150000000000002</v>
      </c>
      <c r="D65" s="4">
        <v>6</v>
      </c>
      <c r="E65" s="3" t="s">
        <v>13</v>
      </c>
      <c r="F65" s="4">
        <v>270</v>
      </c>
      <c r="G65" s="5">
        <f t="shared" si="2"/>
        <v>-1</v>
      </c>
      <c r="H65" s="5">
        <f t="shared" si="3"/>
        <v>-1.83772268236293E-16</v>
      </c>
      <c r="I65" s="7">
        <v>3.97424</v>
      </c>
      <c r="J65" s="7">
        <v>0.21113000000000001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4" workbookViewId="0">
      <selection sqref="A1:B1"/>
    </sheetView>
  </sheetViews>
  <sheetFormatPr defaultRowHeight="13.8"/>
  <cols>
    <col min="1" max="1" width="28" customWidth="1"/>
    <col min="2" max="2" width="90" customWidth="1"/>
  </cols>
  <sheetData>
    <row r="1" spans="1:2" ht="24" customHeight="1">
      <c r="A1" s="12" t="s">
        <v>14</v>
      </c>
      <c r="B1" s="12"/>
    </row>
    <row r="2" spans="1:2" ht="33.6" customHeight="1">
      <c r="A2" s="10" t="s">
        <v>15</v>
      </c>
      <c r="B2" s="11" t="s">
        <v>16</v>
      </c>
    </row>
    <row r="3" spans="1:2" ht="33.6" customHeight="1">
      <c r="A3" s="10" t="s">
        <v>17</v>
      </c>
      <c r="B3" s="11" t="s">
        <v>18</v>
      </c>
    </row>
    <row r="4" spans="1:2" ht="33.6" customHeight="1">
      <c r="A4" s="10" t="s">
        <v>19</v>
      </c>
      <c r="B4" s="11" t="s">
        <v>8</v>
      </c>
    </row>
    <row r="5" spans="1:2" ht="33.6" customHeight="1">
      <c r="A5" s="10" t="s">
        <v>20</v>
      </c>
      <c r="B5" s="11" t="s">
        <v>9</v>
      </c>
    </row>
    <row r="6" spans="1:2" ht="33.6" customHeight="1">
      <c r="A6" s="10" t="s">
        <v>21</v>
      </c>
      <c r="B6" s="11" t="s">
        <v>1</v>
      </c>
    </row>
    <row r="7" spans="1:2" ht="33.6" customHeight="1">
      <c r="A7" s="10" t="s">
        <v>22</v>
      </c>
      <c r="B7" s="11" t="s">
        <v>3</v>
      </c>
    </row>
    <row r="8" spans="1:2" ht="33.6" customHeight="1">
      <c r="A8" s="10" t="s">
        <v>23</v>
      </c>
      <c r="B8" s="11" t="s">
        <v>24</v>
      </c>
    </row>
    <row r="9" spans="1:2" ht="33.6" customHeight="1">
      <c r="A9" s="10" t="s">
        <v>25</v>
      </c>
      <c r="B9" s="11" t="s">
        <v>26</v>
      </c>
    </row>
    <row r="10" spans="1:2" ht="33.6" customHeight="1">
      <c r="A10" s="10" t="s">
        <v>27</v>
      </c>
      <c r="B10" s="11" t="s">
        <v>28</v>
      </c>
    </row>
    <row r="11" spans="1:2" ht="33.6" customHeight="1">
      <c r="A11" s="10" t="s">
        <v>29</v>
      </c>
      <c r="B11" s="11" t="s">
        <v>30</v>
      </c>
    </row>
    <row r="12" spans="1:2" ht="33.6" customHeight="1">
      <c r="A12" s="10" t="s">
        <v>31</v>
      </c>
      <c r="B12" s="11" t="s">
        <v>32</v>
      </c>
    </row>
    <row r="13" spans="1:2" ht="33.6" customHeight="1">
      <c r="A13" s="10" t="s">
        <v>33</v>
      </c>
      <c r="B13" s="11" t="s">
        <v>34</v>
      </c>
    </row>
    <row r="14" spans="1:2" ht="33.6" customHeight="1">
      <c r="A14" s="10" t="s">
        <v>35</v>
      </c>
      <c r="B14" s="11" t="s">
        <v>36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opLeftCell="A76" workbookViewId="0"/>
  </sheetViews>
  <sheetFormatPr defaultRowHeight="13.8"/>
  <cols>
    <col min="1" max="1" width="38" customWidth="1"/>
    <col min="2" max="2" width="80" customWidth="1"/>
  </cols>
  <sheetData>
    <row r="1" spans="1:2">
      <c r="A1" s="1" t="s">
        <v>37</v>
      </c>
      <c r="B1" s="1" t="s">
        <v>38</v>
      </c>
    </row>
    <row r="2" spans="1:2" ht="25.65" customHeight="1">
      <c r="A2" s="10" t="s">
        <v>39</v>
      </c>
      <c r="B2" s="11">
        <v>64</v>
      </c>
    </row>
    <row r="3" spans="1:2" ht="25.65" customHeight="1">
      <c r="A3" s="10" t="s">
        <v>40</v>
      </c>
      <c r="B3" s="11">
        <v>4</v>
      </c>
    </row>
    <row r="4" spans="1:2" ht="25.65" customHeight="1">
      <c r="A4" s="10" t="s">
        <v>41</v>
      </c>
      <c r="B4" s="11" t="s">
        <v>42</v>
      </c>
    </row>
    <row r="5" spans="1:2" ht="25.65" customHeight="1">
      <c r="A5" s="10" t="s">
        <v>43</v>
      </c>
      <c r="B5" s="11">
        <v>4</v>
      </c>
    </row>
    <row r="6" spans="1:2" ht="25.65" customHeight="1">
      <c r="A6" s="10" t="s">
        <v>44</v>
      </c>
      <c r="B6" s="11" t="s">
        <v>45</v>
      </c>
    </row>
    <row r="7" spans="1:2" ht="25.65" customHeight="1">
      <c r="A7" s="10" t="s">
        <v>46</v>
      </c>
      <c r="B7" s="11">
        <v>4</v>
      </c>
    </row>
    <row r="8" spans="1:2" ht="25.65" customHeight="1">
      <c r="A8" s="10" t="s">
        <v>47</v>
      </c>
      <c r="B8" s="11" t="s">
        <v>48</v>
      </c>
    </row>
    <row r="9" spans="1:2" ht="25.65" customHeight="1">
      <c r="A9" s="10" t="s">
        <v>49</v>
      </c>
      <c r="B9" s="11">
        <v>0</v>
      </c>
    </row>
    <row r="10" spans="1:2" ht="25.65" customHeight="1">
      <c r="A10" s="10" t="s">
        <v>50</v>
      </c>
      <c r="B10" s="11">
        <v>0</v>
      </c>
    </row>
    <row r="11" spans="1:2" ht="25.65" customHeight="1">
      <c r="A11" s="10" t="s">
        <v>51</v>
      </c>
      <c r="B11" s="11" t="s">
        <v>52</v>
      </c>
    </row>
    <row r="12" spans="1:2" ht="25.65" customHeight="1">
      <c r="A12" s="10" t="s">
        <v>53</v>
      </c>
      <c r="B12" s="11" t="s">
        <v>54</v>
      </c>
    </row>
    <row r="13" spans="1:2" ht="25.65" customHeight="1">
      <c r="A13" s="10" t="s">
        <v>55</v>
      </c>
      <c r="B13" s="1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3.8"/>
  <cols>
    <col min="1" max="1" width="28" customWidth="1"/>
    <col min="2" max="2" width="110" customWidth="1"/>
  </cols>
  <sheetData>
    <row r="1" spans="1:2">
      <c r="A1" s="1" t="s">
        <v>57</v>
      </c>
      <c r="B1" s="1" t="s">
        <v>58</v>
      </c>
    </row>
    <row r="2" spans="1:2" ht="60" customHeight="1">
      <c r="A2" s="10" t="s">
        <v>59</v>
      </c>
      <c r="B2" s="11" t="s">
        <v>60</v>
      </c>
    </row>
    <row r="3" spans="1:2" ht="60" customHeight="1">
      <c r="A3" s="10" t="s">
        <v>61</v>
      </c>
      <c r="B3" s="11" t="s">
        <v>62</v>
      </c>
    </row>
    <row r="4" spans="1:2" ht="60" customHeight="1">
      <c r="A4" s="10" t="s">
        <v>63</v>
      </c>
      <c r="B4" s="11" t="s">
        <v>64</v>
      </c>
    </row>
    <row r="5" spans="1:2" ht="60" customHeight="1">
      <c r="A5" s="10" t="s">
        <v>65</v>
      </c>
      <c r="B5" s="11" t="s">
        <v>66</v>
      </c>
    </row>
    <row r="6" spans="1:2" ht="60" customHeight="1">
      <c r="A6" s="10" t="s">
        <v>67</v>
      </c>
      <c r="B6" s="11" t="s">
        <v>68</v>
      </c>
    </row>
    <row r="7" spans="1:2" ht="60" customHeight="1">
      <c r="A7" s="10" t="s">
        <v>69</v>
      </c>
      <c r="B7" s="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ML_Dataset</vt:lpstr>
      <vt:lpstr>Model_Setup</vt:lpstr>
      <vt:lpstr>Data_Audit</vt:lpstr>
      <vt:lpstr>Jupyter_Start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Omenuko</cp:lastModifiedBy>
  <dcterms:modified xsi:type="dcterms:W3CDTF">2026-09-09T16:57:23Z</dcterms:modified>
</cp:coreProperties>
</file>